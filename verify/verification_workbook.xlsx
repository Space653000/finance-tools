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攤還驗算" sheetId="1" state="visible" r:id="rId1"/>
    <sheet xmlns:r="http://schemas.openxmlformats.org/officeDocument/2006/relationships" name="複利驗算" sheetId="2" state="visible" r:id="rId2"/>
    <sheet xmlns:r="http://schemas.openxmlformats.org/officeDocument/2006/relationships" name="擔保與稅" sheetId="3" state="visible" r:id="rId3"/>
    <sheet xmlns:r="http://schemas.openxmlformats.org/officeDocument/2006/relationships" name="真實條件試算" sheetId="4" state="visible" r:id="rId4"/>
    <sheet xmlns:r="http://schemas.openxmlformats.org/officeDocument/2006/relationships" name="第三方對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#,##0.0000"/>
    <numFmt numFmtId="166" formatCode="0.0000"/>
    <numFmt numFmtId="167" formatCode="0.0%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7C7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3" fontId="0" fillId="0" borderId="0" pivotButton="0" quotePrefix="0" xfId="0"/>
    <xf numFmtId="9" fontId="0" fillId="0" borderId="0" pivotButton="0" quotePrefix="0" xfId="0"/>
    <xf numFmtId="4" fontId="0" fillId="0" borderId="0" pivotButton="0" quotePrefix="0" xfId="0"/>
    <xf numFmtId="165" fontId="0" fillId="0" borderId="1" pivotButton="0" quotePrefix="0" xfId="0"/>
    <xf numFmtId="166" fontId="0" fillId="0" borderId="1" pivotButton="0" quotePrefix="0" xfId="0"/>
    <xf numFmtId="3" fontId="1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14" customWidth="1" min="4" max="4"/>
    <col width="18" customWidth="1" min="5" max="5"/>
    <col width="14" customWidth="1" min="6" max="6"/>
    <col width="12" customWidth="1" min="7" max="7"/>
  </cols>
  <sheetData>
    <row r="1">
      <c r="A1" s="1" t="inlineStr">
        <is>
          <t>借款攤還　Excel 原生函式 vs 網頁引擎</t>
        </is>
      </c>
    </row>
    <row r="2">
      <c r="A2" t="inlineStr">
        <is>
          <t>C 欄為 Excel 自行計算（PMT 函式），E 欄為網頁引擎輸出，F 欄為差異。差異應為 0。</t>
        </is>
      </c>
    </row>
    <row r="4">
      <c r="A4" s="2" t="inlineStr">
        <is>
          <t>情境</t>
        </is>
      </c>
      <c r="B4" s="2" t="inlineStr">
        <is>
          <t>本金</t>
        </is>
      </c>
      <c r="C4" s="2" t="inlineStr">
        <is>
          <t>Excel PMT</t>
        </is>
      </c>
      <c r="D4" s="2" t="inlineStr">
        <is>
          <t>年利率</t>
        </is>
      </c>
      <c r="E4" s="2" t="inlineStr">
        <is>
          <t>網頁引擎</t>
        </is>
      </c>
      <c r="F4" s="2" t="inlineStr">
        <is>
          <t>差異</t>
        </is>
      </c>
      <c r="G4" s="2" t="inlineStr">
        <is>
          <t>判定</t>
        </is>
      </c>
    </row>
    <row r="5">
      <c r="A5" s="3" t="inlineStr">
        <is>
          <t>房貸 500 萬・2.35%・30 年</t>
        </is>
      </c>
      <c r="B5" s="4" t="n">
        <v>5000000</v>
      </c>
      <c r="C5" s="5">
        <f>IF(D5=0, B5/360, -PMT(D5/12,360,B5))</f>
        <v/>
      </c>
      <c r="D5" s="6" t="n">
        <v>0.0235</v>
      </c>
      <c r="E5" s="5" t="n">
        <v>19368.319283</v>
      </c>
      <c r="F5" s="7">
        <f>C5-E5</f>
        <v/>
      </c>
      <c r="G5" s="3">
        <f>IF(ABS(F5)&lt;0.01,"✅ 相符","❌ 不符")</f>
        <v/>
      </c>
    </row>
    <row r="6">
      <c r="A6" s="3" t="inlineStr">
        <is>
          <t>信貸 100 萬・5.5%・7 年</t>
        </is>
      </c>
      <c r="B6" s="4" t="n">
        <v>1000000</v>
      </c>
      <c r="C6" s="5">
        <f>IF(D6=0, B6/84, -PMT(D6/12,84,B6))</f>
        <v/>
      </c>
      <c r="D6" s="6" t="n">
        <v>0.055</v>
      </c>
      <c r="E6" s="5" t="n">
        <v>14370.042651</v>
      </c>
      <c r="F6" s="7">
        <f>C6-E6</f>
        <v/>
      </c>
      <c r="G6" s="3">
        <f>IF(ABS(F6)&lt;0.01,"✅ 相符","❌ 不符")</f>
        <v/>
      </c>
    </row>
    <row r="7">
      <c r="A7" s="3" t="inlineStr">
        <is>
          <t>零利率 120 萬・10 年</t>
        </is>
      </c>
      <c r="B7" s="4" t="n">
        <v>1200000</v>
      </c>
      <c r="C7" s="5">
        <f>IF(D7=0, B7/120, -PMT(D7/12,120,B7))</f>
        <v/>
      </c>
      <c r="D7" s="6" t="n">
        <v>0</v>
      </c>
      <c r="E7" s="5" t="n">
        <v>10000</v>
      </c>
      <c r="F7" s="7">
        <f>C7-E7</f>
        <v/>
      </c>
      <c r="G7" s="3">
        <f>IF(ABS(F7)&lt;0.01,"✅ 相符","❌ 不符")</f>
        <v/>
      </c>
    </row>
    <row r="8">
      <c r="A8" s="3" t="inlineStr">
        <is>
          <t>寬限 3 年後 500 萬・27 年</t>
        </is>
      </c>
      <c r="B8" s="4" t="n">
        <v>5000000</v>
      </c>
      <c r="C8" s="5">
        <f>IF(D8=0, B8/324, -PMT(D8/12,324,B8))</f>
        <v/>
      </c>
      <c r="D8" s="6" t="n">
        <v>0.0235</v>
      </c>
      <c r="E8" s="5" t="n">
        <v>20856.834931</v>
      </c>
      <c r="F8" s="7">
        <f>C8-E8</f>
        <v/>
      </c>
      <c r="G8" s="3">
        <f>IF(ABS(F8)&lt;0.01,"✅ 相符","❌ 不符")</f>
        <v/>
      </c>
    </row>
    <row r="11">
      <c r="A11" s="1" t="inlineStr">
        <is>
          <t>攤還首期拆分（Excel IPMT / PPMT）</t>
        </is>
      </c>
    </row>
    <row r="12">
      <c r="A12" s="2" t="inlineStr">
        <is>
          <t>項目</t>
        </is>
      </c>
      <c r="B12" s="2" t="inlineStr">
        <is>
          <t>Excel 計算</t>
        </is>
      </c>
      <c r="C12" s="2" t="inlineStr">
        <is>
          <t>網頁引擎</t>
        </is>
      </c>
      <c r="D12" s="2" t="inlineStr">
        <is>
          <t>差異</t>
        </is>
      </c>
      <c r="E12" s="2" t="inlineStr">
        <is>
          <t>判定</t>
        </is>
      </c>
    </row>
    <row r="13">
      <c r="A13" s="3" t="inlineStr">
        <is>
          <t>第 1 期利息</t>
        </is>
      </c>
      <c r="B13" s="5">
        <f>-IPMT(0.0235/12,1,360,5000000)</f>
        <v/>
      </c>
      <c r="C13" s="5" t="n">
        <v>9791.666667</v>
      </c>
      <c r="D13" s="7">
        <f>B13-C13</f>
        <v/>
      </c>
      <c r="E13" s="3">
        <f>IF(ABS(D13)&lt;0.01,"✅ 相符","❌ 不符")</f>
        <v/>
      </c>
    </row>
    <row r="14">
      <c r="A14" s="3" t="inlineStr">
        <is>
          <t>第 1 期本金</t>
        </is>
      </c>
      <c r="B14" s="5">
        <f>-PPMT(0.0235/12,1,360,5000000)</f>
        <v/>
      </c>
      <c r="C14" s="5" t="n">
        <v>9576.652615999999</v>
      </c>
      <c r="D14" s="7">
        <f>B14-C14</f>
        <v/>
      </c>
      <c r="E14" s="3">
        <f>IF(ABS(D14)&lt;0.01,"✅ 相符","❌ 不符")</f>
        <v/>
      </c>
    </row>
    <row r="15">
      <c r="A15" s="3" t="inlineStr">
        <is>
          <t>第 12 期後餘額</t>
        </is>
      </c>
      <c r="B15" s="5">
        <f>-FV(0.0235/12,12,PMT(0.0235/12,360,5000000),5000000)</f>
        <v/>
      </c>
      <c r="C15" s="5" t="n">
        <v>4883834.270576</v>
      </c>
      <c r="D15" s="7">
        <f>B15-C15</f>
        <v/>
      </c>
      <c r="E15" s="3">
        <f>IF(ABS(D15)&lt;0.01,"✅ 相符","❌ 不符")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16" customWidth="1" min="4" max="4"/>
    <col width="12" customWidth="1" min="5" max="5"/>
  </cols>
  <sheetData>
    <row r="1">
      <c r="A1" s="1" t="inlineStr">
        <is>
          <t>複利終值　Excel FV 函式 vs 網頁引擎</t>
        </is>
      </c>
    </row>
    <row r="2">
      <c r="A2" t="inlineStr">
        <is>
          <t>B 欄由 Excel 的 FV 函式自行計算。年複利以年為期，月複利以月為期。</t>
        </is>
      </c>
    </row>
    <row r="4">
      <c r="A4" s="2" t="inlineStr">
        <is>
          <t>情境</t>
        </is>
      </c>
      <c r="B4" s="2" t="inlineStr">
        <is>
          <t>Excel FV</t>
        </is>
      </c>
      <c r="C4" s="2" t="inlineStr">
        <is>
          <t>網頁引擎</t>
        </is>
      </c>
      <c r="D4" s="2" t="inlineStr">
        <is>
          <t>差異</t>
        </is>
      </c>
      <c r="E4" s="2" t="inlineStr">
        <is>
          <t>判定</t>
        </is>
      </c>
    </row>
    <row r="5">
      <c r="A5" s="3" t="inlineStr">
        <is>
          <t>單筆 100 萬・6%・10 年・年複利</t>
        </is>
      </c>
      <c r="B5" s="5">
        <f>-FV(0.06,10,0,1000000)</f>
        <v/>
      </c>
      <c r="C5" s="5" t="n">
        <v>1790847.696543</v>
      </c>
      <c r="D5" s="8">
        <f>B5-C5</f>
        <v/>
      </c>
      <c r="E5" s="3">
        <f>IF(ABS(D5)&lt;1,"✅ 相符","❌ 不符")</f>
        <v/>
      </c>
    </row>
    <row r="6">
      <c r="A6" s="3" t="inlineStr">
        <is>
          <t>單筆 100 萬・6%・10 年・月複利</t>
        </is>
      </c>
      <c r="B6" s="5">
        <f>-FV((1+0.06/12)^12-1,10,0,1000000)</f>
        <v/>
      </c>
      <c r="C6" s="5" t="n">
        <v>1819396.734032</v>
      </c>
      <c r="D6" s="8">
        <f>B6-C6</f>
        <v/>
      </c>
      <c r="E6" s="3">
        <f>IF(ABS(D6)&lt;1,"✅ 相符","❌ 不符")</f>
        <v/>
      </c>
    </row>
    <row r="7">
      <c r="A7" s="3" t="inlineStr">
        <is>
          <t>單筆 500 萬・8%・20 年・年複利</t>
        </is>
      </c>
      <c r="B7" s="5">
        <f>-FV(0.08,20,0,5000000)</f>
        <v/>
      </c>
      <c r="C7" s="5" t="n">
        <v>23304785.719246</v>
      </c>
      <c r="D7" s="8">
        <f>B7-C7</f>
        <v/>
      </c>
      <c r="E7" s="3">
        <f>IF(ABS(D7)&lt;1,"✅ 相符","❌ 不符")</f>
        <v/>
      </c>
    </row>
    <row r="8">
      <c r="A8" s="3" t="inlineStr">
        <is>
          <t>月投 1 萬・6%・10 年</t>
        </is>
      </c>
      <c r="B8" s="5">
        <f>-FV((1+0.06/12)^(12/12)-1,120,10000,0)</f>
        <v/>
      </c>
      <c r="C8" s="5" t="n">
        <v>1638793.468065</v>
      </c>
      <c r="D8" s="8">
        <f>B8-C8</f>
        <v/>
      </c>
      <c r="E8" s="3">
        <f>IF(ABS(D8)&lt;1,"✅ 相符","❌ 不符")</f>
        <v/>
      </c>
    </row>
    <row r="9">
      <c r="A9" s="3" t="inlineStr">
        <is>
          <t>月投 3 萬・5%・30 年</t>
        </is>
      </c>
      <c r="B9" s="5">
        <f>-FV((1+0.05/12)^(12/12)-1,360,30000,0)</f>
        <v/>
      </c>
      <c r="C9" s="5" t="n">
        <v>24967759.060844</v>
      </c>
      <c r="D9" s="8">
        <f>B9-C9</f>
        <v/>
      </c>
      <c r="E9" s="3">
        <f>IF(ABS(D9)&lt;1,"✅ 相符","❌ 不符")</f>
        <v/>
      </c>
    </row>
    <row r="10">
      <c r="A10" s="3" t="inlineStr">
        <is>
          <t>混合 100 萬＋月投 1 萬・6%・10 年</t>
        </is>
      </c>
      <c r="B10" s="5">
        <f>-FV((1+0.06/12)^(12/12)-1,120,10000,1000000)</f>
        <v/>
      </c>
      <c r="C10" s="5" t="n">
        <v>3458190.202097</v>
      </c>
      <c r="D10" s="8">
        <f>B10-C10</f>
        <v/>
      </c>
      <c r="E10" s="3">
        <f>IF(ABS(D10)&lt;1,"✅ 相符","❌ 不符")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  <col width="16" customWidth="1" min="4" max="4"/>
    <col width="12" customWidth="1" min="5" max="5"/>
  </cols>
  <sheetData>
    <row r="1">
      <c r="A1" s="1" t="inlineStr">
        <is>
          <t>擔保維持率與稅務　公式自行驗算</t>
        </is>
      </c>
    </row>
    <row r="3">
      <c r="A3" t="inlineStr">
        <is>
          <t>擔保品市值</t>
        </is>
      </c>
      <c r="B3" s="9" t="n">
        <v>5000000</v>
      </c>
    </row>
    <row r="4">
      <c r="A4" t="inlineStr">
        <is>
          <t>擔保借款</t>
        </is>
      </c>
      <c r="B4" s="9" t="n">
        <v>2000000</v>
      </c>
    </row>
    <row r="5">
      <c r="A5" t="inlineStr">
        <is>
          <t>追繳維持率</t>
        </is>
      </c>
      <c r="B5" s="10" t="n">
        <v>1.4</v>
      </c>
    </row>
    <row r="6">
      <c r="A6" t="inlineStr">
        <is>
          <t>處分維持率</t>
        </is>
      </c>
      <c r="B6" s="10" t="n">
        <v>1.3</v>
      </c>
    </row>
    <row r="7">
      <c r="A7" t="inlineStr">
        <is>
          <t>可動用現金</t>
        </is>
      </c>
      <c r="B7" s="9" t="n">
        <v>600000</v>
      </c>
    </row>
    <row r="8">
      <c r="A8" t="inlineStr">
        <is>
          <t>每月付息</t>
        </is>
      </c>
      <c r="B8" s="11">
        <f>B4*0.032/12</f>
        <v/>
      </c>
    </row>
    <row r="10">
      <c r="A10" s="2" t="inlineStr">
        <is>
          <t>項目</t>
        </is>
      </c>
      <c r="B10" s="2" t="inlineStr">
        <is>
          <t>Excel 公式計算</t>
        </is>
      </c>
      <c r="C10" s="2" t="inlineStr">
        <is>
          <t>網頁引擎</t>
        </is>
      </c>
      <c r="D10" s="2" t="inlineStr">
        <is>
          <t>差異</t>
        </is>
      </c>
      <c r="E10" s="2" t="inlineStr">
        <is>
          <t>判定</t>
        </is>
      </c>
    </row>
    <row r="11">
      <c r="A11" s="3" t="inlineStr">
        <is>
          <t>擔保維持率 %</t>
        </is>
      </c>
      <c r="B11" s="12">
        <f>B3/B4*100</f>
        <v/>
      </c>
      <c r="C11" s="12" t="n">
        <v>250</v>
      </c>
      <c r="D11" s="7">
        <f>B11-C11</f>
        <v/>
      </c>
      <c r="E11" s="3">
        <f>IF(ABS(D11)&lt;0.0001,"✅ 相符","❌ 不符")</f>
        <v/>
      </c>
    </row>
    <row r="12">
      <c r="A12" s="3" t="inlineStr">
        <is>
          <t>距離追繳 %</t>
        </is>
      </c>
      <c r="B12" s="12">
        <f>(1-B5*B4/B3)*100</f>
        <v/>
      </c>
      <c r="C12" s="12" t="n">
        <v>44</v>
      </c>
      <c r="D12" s="7">
        <f>B12-C12</f>
        <v/>
      </c>
      <c r="E12" s="3">
        <f>IF(ABS(D12)&lt;0.0001,"✅ 相符","❌ 不符")</f>
        <v/>
      </c>
    </row>
    <row r="13">
      <c r="A13" s="3" t="inlineStr">
        <is>
          <t>距離處分 %</t>
        </is>
      </c>
      <c r="B13" s="12">
        <f>(1-B6*B4/B3)*100</f>
        <v/>
      </c>
      <c r="C13" s="12" t="n">
        <v>48</v>
      </c>
      <c r="D13" s="7">
        <f>B13-C13</f>
        <v/>
      </c>
      <c r="E13" s="3">
        <f>IF(ABS(D13)&lt;0.0001,"✅ 相符","❌ 不符")</f>
        <v/>
      </c>
    </row>
    <row r="14">
      <c r="A14" s="3" t="inlineStr">
        <is>
          <t>現金可支應月數</t>
        </is>
      </c>
      <c r="B14" s="12">
        <f>B7/B8</f>
        <v/>
      </c>
      <c r="C14" s="12" t="n">
        <v>112.5</v>
      </c>
      <c r="D14" s="7">
        <f>B14-C14</f>
        <v/>
      </c>
      <c r="E14" s="3">
        <f>IF(ABS(D14)&lt;0.0001,"✅ 相符","❌ 不符")</f>
        <v/>
      </c>
    </row>
    <row r="17">
      <c r="A17" s="1" t="inlineStr">
        <is>
          <t>股利有效稅率</t>
        </is>
      </c>
    </row>
    <row r="18">
      <c r="A18" s="2" t="inlineStr">
        <is>
          <t>課稅方式</t>
        </is>
      </c>
      <c r="B18" s="2" t="inlineStr">
        <is>
          <t>Excel 公式計算</t>
        </is>
      </c>
      <c r="C18" s="2" t="inlineStr">
        <is>
          <t>網頁引擎</t>
        </is>
      </c>
      <c r="D18" s="2" t="inlineStr">
        <is>
          <t>差異</t>
        </is>
      </c>
      <c r="E18" s="2" t="inlineStr">
        <is>
          <t>判定</t>
        </is>
      </c>
    </row>
    <row r="19">
      <c r="A19" s="3" t="inlineStr">
        <is>
          <t>合併計稅・稅率 12%</t>
        </is>
      </c>
      <c r="B19" s="13">
        <f>MAX(0,0.12-0.085)</f>
        <v/>
      </c>
      <c r="C19" s="13" t="n">
        <v>0.035</v>
      </c>
      <c r="D19" s="7">
        <f>B19-C19</f>
        <v/>
      </c>
      <c r="E19" s="3">
        <f>IF(ABS(D19)&lt;0.000001,"✅ 相符","❌ 不符")</f>
        <v/>
      </c>
    </row>
    <row r="20">
      <c r="A20" s="3" t="inlineStr">
        <is>
          <t>合併計稅・稅率 40%</t>
        </is>
      </c>
      <c r="B20" s="13">
        <f>MAX(0,0.40-0.085)</f>
        <v/>
      </c>
      <c r="C20" s="13" t="n">
        <v>0.315</v>
      </c>
      <c r="D20" s="7">
        <f>B20-C20</f>
        <v/>
      </c>
      <c r="E20" s="3">
        <f>IF(ABS(D20)&lt;0.000001,"✅ 相符","❌ 不符")</f>
        <v/>
      </c>
    </row>
    <row r="21">
      <c r="A21" s="3" t="inlineStr">
        <is>
          <t>分開計稅 28%</t>
        </is>
      </c>
      <c r="B21" s="13">
        <f>0.28</f>
        <v/>
      </c>
      <c r="C21" s="13" t="n">
        <v>0.28</v>
      </c>
      <c r="D21" s="7">
        <f>B21-C21</f>
        <v/>
      </c>
      <c r="E21" s="3">
        <f>IF(ABS(D21)&lt;0.000001,"✅ 相符","❌ 不符")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0" customWidth="1" min="4" max="4"/>
    <col width="18" customWidth="1" min="5" max="5"/>
    <col width="20" customWidth="1" min="6" max="6"/>
    <col width="26" customWidth="1" min="7" max="7"/>
  </cols>
  <sheetData>
    <row r="1">
      <c r="A1" s="1" t="inlineStr">
        <is>
          <t>以真實市場常見條件試算　供人工比對合理性</t>
        </is>
      </c>
    </row>
    <row r="2">
      <c r="A2" t="inlineStr">
        <is>
          <t>利率為市場常見區間，非任何機構報價。實際條件請以各金融機構公告與合約為準。</t>
        </is>
      </c>
    </row>
    <row r="4">
      <c r="A4" s="2" t="inlineStr">
        <is>
          <t>借款類型</t>
        </is>
      </c>
      <c r="B4" s="2" t="inlineStr">
        <is>
          <t>金額</t>
        </is>
      </c>
      <c r="C4" s="2" t="inlineStr">
        <is>
          <t>年利率</t>
        </is>
      </c>
      <c r="D4" s="2" t="inlineStr">
        <is>
          <t>年期</t>
        </is>
      </c>
      <c r="E4" s="2" t="inlineStr">
        <is>
          <t>Excel 月付金</t>
        </is>
      </c>
      <c r="F4" s="2" t="inlineStr">
        <is>
          <t>20 年總利息</t>
        </is>
      </c>
      <c r="G4" s="2" t="inlineStr">
        <is>
          <t>備註</t>
        </is>
      </c>
    </row>
    <row r="5">
      <c r="A5" s="3" t="inlineStr">
        <is>
          <t>不限用途款項借貸</t>
        </is>
      </c>
      <c r="B5" s="4" t="n">
        <v>2000000</v>
      </c>
      <c r="C5" s="6" t="n">
        <v>0.032</v>
      </c>
      <c r="D5" s="3" t="n">
        <v>1</v>
      </c>
      <c r="E5" s="4">
        <f>B5*C5/12</f>
        <v/>
      </c>
      <c r="F5" s="4">
        <f>B5*C5*20</f>
        <v/>
      </c>
      <c r="G5" s="3" t="inlineStr">
        <is>
          <t>按期付息、到期一次還本</t>
        </is>
      </c>
    </row>
    <row r="6">
      <c r="A6" s="3" t="inlineStr">
        <is>
          <t>證券融資</t>
        </is>
      </c>
      <c r="B6" s="4" t="n">
        <v>2000000</v>
      </c>
      <c r="C6" s="6" t="n">
        <v>0.064</v>
      </c>
      <c r="D6" s="3" t="n">
        <v>1</v>
      </c>
      <c r="E6" s="4">
        <f>B6*C6/12</f>
        <v/>
      </c>
      <c r="F6" s="4">
        <f>B6*C6*20</f>
        <v/>
      </c>
      <c r="G6" s="3" t="inlineStr">
        <is>
          <t>整戶維持率低於 130% 追繳</t>
        </is>
      </c>
    </row>
    <row r="7">
      <c r="A7" s="3" t="inlineStr">
        <is>
          <t>房屋貸款</t>
        </is>
      </c>
      <c r="B7" s="4" t="n">
        <v>5000000</v>
      </c>
      <c r="C7" s="6" t="n">
        <v>0.0235</v>
      </c>
      <c r="D7" s="3" t="n">
        <v>30</v>
      </c>
      <c r="E7" s="4">
        <f>-PMT(C7/12,D7*12,B7)</f>
        <v/>
      </c>
      <c r="F7" s="4">
        <f>E7*MIN(D7,20)*12-B7*MIN(D7,20)/D7</f>
        <v/>
      </c>
      <c r="G7" s="3" t="inlineStr">
        <is>
          <t>機動利率，升息月付金增加</t>
        </is>
      </c>
    </row>
    <row r="8">
      <c r="A8" s="3" t="inlineStr">
        <is>
          <t>理財型房屋貸款</t>
        </is>
      </c>
      <c r="B8" s="4" t="n">
        <v>3000000</v>
      </c>
      <c r="C8" s="6" t="n">
        <v>0.03</v>
      </c>
      <c r="D8" s="3" t="n">
        <v>20</v>
      </c>
      <c r="E8" s="4">
        <f>-PMT(C8/12,D8*12,B8)</f>
        <v/>
      </c>
      <c r="F8" s="4">
        <f>E8*MIN(D8,20)*12-B8*MIN(D8,20)/D8</f>
        <v/>
      </c>
      <c r="G8" s="3" t="inlineStr">
        <is>
          <t>隨借隨還、按日計息</t>
        </is>
      </c>
    </row>
    <row r="9">
      <c r="A9" s="3" t="inlineStr">
        <is>
          <t>個人信用貸款</t>
        </is>
      </c>
      <c r="B9" s="4" t="n">
        <v>1000000</v>
      </c>
      <c r="C9" s="6" t="n">
        <v>0.055</v>
      </c>
      <c r="D9" s="3" t="n">
        <v>7</v>
      </c>
      <c r="E9" s="4">
        <f>-PMT(C9/12,D9*12,B9)</f>
        <v/>
      </c>
      <c r="F9" s="4">
        <f>E9*MIN(D9,20)*12-B9*MIN(D9,20)/D9</f>
        <v/>
      </c>
      <c r="G9" s="3" t="inlineStr">
        <is>
          <t>計入 DBR 22 倍上限</t>
        </is>
      </c>
    </row>
    <row r="10">
      <c r="A10" s="3" t="inlineStr">
        <is>
          <t>汽車貸款</t>
        </is>
      </c>
      <c r="B10" s="4" t="n">
        <v>800000</v>
      </c>
      <c r="C10" s="6" t="n">
        <v>0.055</v>
      </c>
      <c r="D10" s="3" t="n">
        <v>5</v>
      </c>
      <c r="E10" s="4">
        <f>-PMT(C10/12,D10*12,B10)</f>
        <v/>
      </c>
      <c r="F10" s="4">
        <f>E10*MIN(D10,20)*12-B10*MIN(D10,20)/D10</f>
        <v/>
      </c>
      <c r="G10" s="3" t="inlineStr">
        <is>
          <t>車輛折舊快於本金攤還</t>
        </is>
      </c>
    </row>
    <row r="12">
      <c r="A12" s="1" t="inlineStr">
        <is>
          <t>合計月付金</t>
        </is>
      </c>
      <c r="E12" s="14">
        <f>SUM(E5:E10)</f>
        <v/>
      </c>
    </row>
    <row r="13">
      <c r="A13" t="inlineStr">
        <is>
          <t>月收入 12 萬時的月付金佔比</t>
        </is>
      </c>
      <c r="E13" s="15">
        <f>E12/120000</f>
        <v/>
      </c>
    </row>
    <row r="14">
      <c r="A14" t="inlineStr">
        <is>
          <t>銀行實務警戒值</t>
        </is>
      </c>
      <c r="E14" s="10" t="n">
        <v>0.4</v>
      </c>
    </row>
    <row r="15">
      <c r="A15" t="inlineStr">
        <is>
          <t>判定</t>
        </is>
      </c>
      <c r="E15">
        <f>IF(E13&lt;=E14,"✅ 未超出警戒","❌ 已超出警戒")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16" customWidth="1" min="5" max="5"/>
    <col width="12" customWidth="1" min="6" max="6"/>
  </cols>
  <sheetData>
    <row r="1">
      <c r="A1" s="1" t="inlineStr">
        <is>
          <t>與市售房貸試算 App 交叉比對</t>
        </is>
      </c>
    </row>
    <row r="2">
      <c r="A2" t="inlineStr">
        <is>
          <t>條件：500 萬・年利率 2.8%・20 年・寬限期 3 年。B 欄由 Excel 自算，C 欄為對照 App 顯示值。</t>
        </is>
      </c>
    </row>
    <row r="4">
      <c r="A4" s="2" t="inlineStr">
        <is>
          <t>項目</t>
        </is>
      </c>
      <c r="B4" s="2" t="inlineStr">
        <is>
          <t>Excel 計算</t>
        </is>
      </c>
      <c r="C4" s="2" t="inlineStr">
        <is>
          <t>對照 App</t>
        </is>
      </c>
      <c r="D4" s="2" t="inlineStr">
        <is>
          <t>本工具</t>
        </is>
      </c>
      <c r="E4" s="2" t="inlineStr">
        <is>
          <t>差異</t>
        </is>
      </c>
      <c r="F4" s="2" t="inlineStr">
        <is>
          <t>判定</t>
        </is>
      </c>
    </row>
    <row r="5">
      <c r="A5" s="3" t="inlineStr">
        <is>
          <t>無寬限　月付金</t>
        </is>
      </c>
      <c r="B5" s="5">
        <f>-PMT(0.028/12,240,5000000)</f>
        <v/>
      </c>
      <c r="C5" s="5" t="n">
        <v>27232</v>
      </c>
      <c r="D5" s="5" t="n">
        <v>27231.96</v>
      </c>
      <c r="E5" s="13">
        <f>B5-D5</f>
        <v/>
      </c>
      <c r="F5" s="3">
        <f>IF(ABS(E5)&lt;0.01,"✅ 相符","❌ 不符")</f>
        <v/>
      </c>
    </row>
    <row r="6">
      <c r="A6" s="3" t="inlineStr">
        <is>
          <t>寬限期內　月付金</t>
        </is>
      </c>
      <c r="B6" s="5">
        <f>5000000*0.028/12</f>
        <v/>
      </c>
      <c r="C6" s="5" t="n">
        <v>11666.67</v>
      </c>
      <c r="D6" s="5" t="n">
        <v>11666.67</v>
      </c>
      <c r="E6" s="13">
        <f>B6-D6</f>
        <v/>
      </c>
      <c r="F6" s="3">
        <f>IF(ABS(E6)&lt;0.01,"✅ 相符","❌ 不符")</f>
        <v/>
      </c>
    </row>
    <row r="7">
      <c r="A7" s="3" t="inlineStr">
        <is>
          <t>第 37 月起　月付金</t>
        </is>
      </c>
      <c r="B7" s="5">
        <f>-PMT(0.028/12,204,5000000)</f>
        <v/>
      </c>
      <c r="C7" s="5" t="n">
        <v>30832</v>
      </c>
      <c r="D7" s="5" t="n">
        <v>30832.23</v>
      </c>
      <c r="E7" s="13">
        <f>B7-D7</f>
        <v/>
      </c>
      <c r="F7" s="3">
        <f>IF(ABS(E7)&lt;0.01,"✅ 相符","❌ 不符")</f>
        <v/>
      </c>
    </row>
    <row r="9">
      <c r="A9" s="1" t="inlineStr">
        <is>
          <t>寬限期滿後月付金跳增</t>
        </is>
      </c>
      <c r="B9" s="11">
        <f>B7-B6</f>
        <v/>
      </c>
      <c r="D9" s="11">
        <f>D7-D6</f>
        <v/>
      </c>
    </row>
    <row r="10">
      <c r="A10" t="inlineStr">
        <is>
          <t>說明</t>
        </is>
      </c>
      <c r="B10" t="inlineStr">
        <is>
          <t>寬限期內僅繳利息，期滿後以剩餘 17 年重新計算本息平均攤還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2026-08-01T23:50:44Z</dcterms:created>
  <dcterms:modified xmlns:dcterms="http://purl.org/dc/terms/" xmlns:xsi="http://www.w3.org/2001/XMLSchema-instance" xsi:type="dcterms:W3CDTF">2026-08-01T23:50:44Z</dcterms:modified>
</cp:coreProperties>
</file>